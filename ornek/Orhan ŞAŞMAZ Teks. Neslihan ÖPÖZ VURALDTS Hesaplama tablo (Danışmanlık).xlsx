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1.225\donersermaye\ÖRNEK\DÖNEM EK KATKI PAYI HESAPLAMA\DTS-Katkı Payı 2026\"/>
    </mc:Choice>
  </mc:AlternateContent>
  <xr:revisionPtr revIDLastSave="0" documentId="13_ncr:1_{6CA073B8-E65B-4861-993E-FC9AADF7897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KATKI PAYI HESAPLAMA" sheetId="6" r:id="rId1"/>
    <sheet name="DAĞ. MAKS. PAY. HESAPLAMA" sheetId="5" r:id="rId2"/>
    <sheet name="LİST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4" l="1"/>
  <c r="B1" i="5"/>
  <c r="B32" i="6"/>
  <c r="E11" i="6" l="1"/>
  <c r="E10" i="6"/>
  <c r="E9" i="6"/>
  <c r="E8" i="6"/>
  <c r="E7" i="6"/>
  <c r="E6" i="6"/>
  <c r="D18" i="6"/>
  <c r="E17" i="6"/>
  <c r="E16" i="6"/>
  <c r="E15" i="6"/>
  <c r="E14" i="6"/>
  <c r="E13" i="6"/>
  <c r="E12" i="6"/>
  <c r="E5" i="6"/>
  <c r="E4" i="6"/>
  <c r="E2" i="6" l="1"/>
  <c r="E3" i="6" l="1"/>
  <c r="E19" i="6" s="1"/>
  <c r="C27" i="6" l="1"/>
  <c r="C32" i="6"/>
  <c r="D32" i="6" s="1"/>
  <c r="I30" i="5"/>
  <c r="G30" i="5"/>
  <c r="E30" i="5"/>
  <c r="H22" i="5"/>
  <c r="G8" i="5"/>
  <c r="G7" i="5"/>
  <c r="E7" i="5"/>
  <c r="A18" i="4"/>
  <c r="C18" i="4" l="1"/>
  <c r="E11" i="5" s="1"/>
  <c r="G11" i="5"/>
  <c r="B11" i="5" l="1"/>
  <c r="G31" i="5" s="1"/>
  <c r="A23" i="6" s="1"/>
  <c r="B23" i="6"/>
  <c r="A27" i="6"/>
  <c r="G15" i="5" l="1"/>
  <c r="G16" i="5"/>
  <c r="G17" i="5"/>
  <c r="B27" i="6"/>
  <c r="D27" i="6" s="1"/>
  <c r="E22" i="6"/>
  <c r="G18" i="5" l="1"/>
  <c r="G19" i="5" s="1"/>
  <c r="H21" i="5" s="1"/>
  <c r="H27" i="5" s="1"/>
  <c r="H3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...</author>
    <author>KASIM ŞATIR</author>
    <author>NECMETTİN PADIR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2"/>
          </rPr>
          <t>Mesai Dışı olunca 16 yazılır.
Mesai İçi olunca 10 yazılır.</t>
        </r>
      </text>
    </comment>
    <comment ref="F9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162"/>
          </rPr>
          <t>2025 yılı ilk 6 ay için geçerli olan katsayıdır.</t>
        </r>
      </text>
    </comment>
    <comment ref="E19" authorId="1" shapeId="0" xr:uid="{00000000-0006-0000-0000-000003000000}">
      <text>
        <r>
          <rPr>
            <b/>
            <sz val="9"/>
            <color indexed="81"/>
            <rFont val="Tahoma"/>
            <charset val="1"/>
          </rPr>
          <t>KASIM ŞATIR:</t>
        </r>
        <r>
          <rPr>
            <sz val="9"/>
            <color indexed="81"/>
            <rFont val="Tahoma"/>
            <charset val="1"/>
          </rPr>
          <t xml:space="preserve">
toplam puan unvan katsıyısı ile çarpılarak yazılır ve işleme alınır</t>
        </r>
      </text>
    </comment>
    <comment ref="C23" authorId="2" shapeId="0" xr:uid="{00000000-0006-0000-0000-000004000000}">
      <text>
        <r>
          <rPr>
            <b/>
            <sz val="9"/>
            <color indexed="81"/>
            <rFont val="Tahoma"/>
            <family val="2"/>
            <charset val="162"/>
          </rPr>
          <t>FORMÜL:
=YUVARLA(A10/B10;2)
DİKKAT: Eğer formül sonucunda ortaya çıkan Dönem Ek Ödeme Katsayısı çarpı Toplam puan çarpımı maksimum dağıtılacak payı geçerse; Dönem Ek Ödeme Katsayısından kuruş düşürür vce tekrar çarpım yaparız.
Bu durumda formül devre dışı kalır.</t>
        </r>
      </text>
    </comment>
    <comment ref="A3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162"/>
          </rPr>
          <t>Listede en yüksek unvanlı kişi Doçent unvalı olduğu için, doçentin ek göstergesini yazdık</t>
        </r>
      </text>
    </comment>
  </commentList>
</comments>
</file>

<file path=xl/sharedStrings.xml><?xml version="1.0" encoding="utf-8"?>
<sst xmlns="http://schemas.openxmlformats.org/spreadsheetml/2006/main" count="80" uniqueCount="68">
  <si>
    <t>HESAPLAMA TABLOSU</t>
  </si>
  <si>
    <t>ÖĞRENCİ SAYISI</t>
  </si>
  <si>
    <t>BİRİM FİYAT</t>
  </si>
  <si>
    <t>TOPLAM GELİR</t>
  </si>
  <si>
    <t>GELİR</t>
  </si>
  <si>
    <t>TOPLAM TUTAR</t>
  </si>
  <si>
    <t>GELİRDEN AKTARILACAK PAYLAR</t>
  </si>
  <si>
    <t>HAZİNE PAYI</t>
  </si>
  <si>
    <t>BİLİMSEL ARAŞTIRMA PROJELERİ PAYI</t>
  </si>
  <si>
    <t>ARAÇ GEREÇ PAYI</t>
  </si>
  <si>
    <t>KATKI PAYI</t>
  </si>
  <si>
    <t>T O P L A M</t>
  </si>
  <si>
    <t xml:space="preserve">KATKI PAYI
</t>
  </si>
  <si>
    <t>GENEL SEKRETER YÖNETİCİ PAYI (%6</t>
  </si>
  <si>
    <t>KATKISI BULUNAN AKADEMİK PERSONELLER</t>
  </si>
  <si>
    <t>ADI SOYADI</t>
  </si>
  <si>
    <t>KATKI</t>
  </si>
  <si>
    <t>SAAT ÜCRETİ</t>
  </si>
  <si>
    <t>DAĞ. TUTAR</t>
  </si>
  <si>
    <t>TOPLAM</t>
  </si>
  <si>
    <t>Saat</t>
  </si>
  <si>
    <t>dönem</t>
  </si>
  <si>
    <t>DAĞ. MAKS. AKADEMİK PAY</t>
  </si>
  <si>
    <t>S.N</t>
  </si>
  <si>
    <t>T.C.</t>
  </si>
  <si>
    <t>Açıklama</t>
  </si>
  <si>
    <t xml:space="preserve">T   O   P   L   A   M   </t>
  </si>
  <si>
    <t>Tutar</t>
  </si>
  <si>
    <t>Adı Soyadı</t>
  </si>
  <si>
    <t>Puanı</t>
  </si>
  <si>
    <t>Unvan Katsayısı</t>
  </si>
  <si>
    <t>Ders Saati</t>
  </si>
  <si>
    <t>Bireysel Net Katkı Puanı</t>
  </si>
  <si>
    <t>Ek Göstergeler</t>
  </si>
  <si>
    <t>Memur Maaş Katsayısı</t>
  </si>
  <si>
    <t>Profesör</t>
  </si>
  <si>
    <t>Doçent</t>
  </si>
  <si>
    <t>Dr.Öğr.Üyesi</t>
  </si>
  <si>
    <t>Öğr.Gör.</t>
  </si>
  <si>
    <t>TOPLAM PUAN</t>
  </si>
  <si>
    <t>Arş.Gör.Dr.</t>
  </si>
  <si>
    <t>DÖNEM EK KATSAYI HESAPLAMA</t>
  </si>
  <si>
    <t>Dağıtılacak Maksimum Akademik Pay</t>
  </si>
  <si>
    <t>Toplam Puan</t>
  </si>
  <si>
    <t>Dönem Ek Ödeme Katsayı</t>
  </si>
  <si>
    <t>Sağlaması
(Toplam Puan X Dönem Ek Katsayı)</t>
  </si>
  <si>
    <t>Verdiği Ders Saati</t>
  </si>
  <si>
    <t>Kursun 1 Saatlik Ücreti</t>
  </si>
  <si>
    <t xml:space="preserve"> </t>
  </si>
  <si>
    <t>Ek Gösterge</t>
  </si>
  <si>
    <t>Aylık Maaş Katsayısı</t>
  </si>
  <si>
    <r>
      <rPr>
        <sz val="11"/>
        <color rgb="FFFF0000"/>
        <rFont val="Bahnschrift"/>
        <family val="2"/>
        <charset val="162"/>
      </rPr>
      <t>Mesai İçi</t>
    </r>
    <r>
      <rPr>
        <sz val="11"/>
        <color theme="1"/>
        <rFont val="Bahnschrift"/>
        <family val="2"/>
        <charset val="162"/>
      </rPr>
      <t xml:space="preserve">
Ek Ders 1 Saatlik Ücreti</t>
    </r>
  </si>
  <si>
    <r>
      <rPr>
        <sz val="11"/>
        <color rgb="FFFF0000"/>
        <rFont val="Bahnschrift"/>
        <family val="2"/>
        <charset val="162"/>
      </rPr>
      <t>Mesai Dışı</t>
    </r>
    <r>
      <rPr>
        <sz val="11"/>
        <color theme="1"/>
        <rFont val="Bahnschrift"/>
        <family val="2"/>
        <charset val="162"/>
      </rPr>
      <t xml:space="preserve">
%60 Artırımlı Ek Ders 1 Saatlik Ücreti</t>
    </r>
  </si>
  <si>
    <t>MESAİ İÇİ</t>
  </si>
  <si>
    <t>Eğer Mesai içi ise Ek Ders Ücretinin 2 Katı ücret alabilir</t>
  </si>
  <si>
    <t>MESAİ DIŞI</t>
  </si>
  <si>
    <t>Eğer Mesai dışı ise Ek Ders Ücretinin 3,2 Katı ücret alabilir</t>
  </si>
  <si>
    <r>
      <t xml:space="preserve">1 SAATLİK </t>
    </r>
    <r>
      <rPr>
        <b/>
        <sz val="11"/>
        <color rgb="FFFF0000"/>
        <rFont val="Bahnschrift"/>
        <family val="2"/>
        <charset val="162"/>
      </rPr>
      <t>EK DERS</t>
    </r>
    <r>
      <rPr>
        <b/>
        <sz val="11"/>
        <color theme="1"/>
        <rFont val="Bahnschrift"/>
        <family val="2"/>
        <charset val="162"/>
      </rPr>
      <t xml:space="preserve"> ÜCRETİ HESAPLAMA</t>
    </r>
  </si>
  <si>
    <r>
      <rPr>
        <b/>
        <sz val="11"/>
        <color rgb="FFFF0000"/>
        <rFont val="Bahnschrift"/>
        <family val="2"/>
        <charset val="162"/>
      </rPr>
      <t>KURSUN</t>
    </r>
    <r>
      <rPr>
        <b/>
        <sz val="11"/>
        <color theme="1"/>
        <rFont val="Bahnschrift"/>
        <family val="2"/>
        <charset val="162"/>
      </rPr>
      <t xml:space="preserve"> 1 SAATLİK ÜCRETİNİ HESAPLAMA</t>
    </r>
  </si>
  <si>
    <t>Sağlama yaparken sonuç eğer Dağıtılacak Maksimum Akademik Payı aşarsa bir azaltırız katsayıdaki tutarı 1 azaltırız</t>
  </si>
  <si>
    <t>10 Puan</t>
  </si>
  <si>
    <t>Fatura kesilenlerin listesi (Hatice hanıma soracağız)</t>
  </si>
  <si>
    <t>%20 KDV</t>
  </si>
  <si>
    <t>saat</t>
  </si>
  <si>
    <t>adet</t>
  </si>
  <si>
    <t>20 PUAN</t>
  </si>
  <si>
    <t>Öğr. Gör. Dr. Neslihan ÖPÖZ VURAL</t>
  </si>
  <si>
    <r>
      <t xml:space="preserve">T.C.
UŞAK ÜNİVERSİTESİ REKTÖRLÜĞÜ
DÖNER SERMAYE İŞLETME MÜDÜRLÜĞÜ
</t>
    </r>
    <r>
      <rPr>
        <sz val="11"/>
        <color rgb="FFFF0000"/>
        <rFont val="Bahnschrift"/>
        <family val="2"/>
        <charset val="162"/>
      </rPr>
      <t>DERİ, TEKSTİL UYGULAMA VE ARAŞTIRMA MERKEZİ MÜDÜRLÜĞÜ</t>
    </r>
    <r>
      <rPr>
        <sz val="11"/>
        <rFont val="Bahnschrift"/>
        <family val="2"/>
        <charset val="162"/>
      </rPr>
      <t xml:space="preserve">
ÖĞR. GÖR. Dr. Neslihan ÖPÖZ VURAL DANIŞMANLIK HİZMET GELİRLERİ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</si>
</sst>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₺&quot;#,##0.00;\-&quot;₺&quot;#,##0.00"/>
    <numFmt numFmtId="44" formatCode="_-&quot;₺&quot;* #,##0.00_-;\-&quot;₺&quot;* #,##0.00_-;_-&quot;₺&quot;* &quot;-&quot;??_-;_-@_-"/>
    <numFmt numFmtId="164" formatCode="#,##0.00\ &quot;TL&quot;;[Red]\-#,##0.00\ &quot;TL&quot;"/>
    <numFmt numFmtId="165" formatCode="#,##0.00\ &quot;₺&quot;"/>
    <numFmt numFmtId="166" formatCode="#,##0.00\ &quot;TL&quot;"/>
    <numFmt numFmtId="167" formatCode="#,##0\ &quot;TL&quot;"/>
    <numFmt numFmtId="168" formatCode="&quot;₺&quot;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Bahnschrift"/>
      <family val="2"/>
      <charset val="162"/>
    </font>
    <font>
      <sz val="12"/>
      <color theme="1"/>
      <name val="Bahnschrift"/>
      <family val="2"/>
      <charset val="162"/>
    </font>
    <font>
      <b/>
      <sz val="10"/>
      <name val="Arial Tur"/>
      <charset val="162"/>
    </font>
    <font>
      <sz val="10"/>
      <name val="Arial Tur"/>
      <charset val="162"/>
    </font>
    <font>
      <sz val="11"/>
      <name val="Bahnschrift"/>
      <family val="2"/>
      <charset val="162"/>
    </font>
    <font>
      <sz val="14"/>
      <name val="Bahnschrift"/>
      <family val="2"/>
      <charset val="162"/>
    </font>
    <font>
      <sz val="12"/>
      <color indexed="8"/>
      <name val="Bahnschrift"/>
      <family val="2"/>
      <charset val="162"/>
    </font>
    <font>
      <sz val="10"/>
      <name val="Bahnschrift"/>
      <family val="2"/>
      <charset val="162"/>
    </font>
    <font>
      <sz val="12"/>
      <name val="Bahnschrift"/>
      <family val="2"/>
      <charset val="162"/>
    </font>
    <font>
      <i/>
      <sz val="12"/>
      <name val="Bahnschrift"/>
      <family val="2"/>
      <charset val="162"/>
    </font>
    <font>
      <b/>
      <sz val="12"/>
      <name val="Bahnschrift"/>
      <family val="2"/>
      <charset val="162"/>
    </font>
    <font>
      <b/>
      <sz val="12"/>
      <color theme="1"/>
      <name val="Bahnschrift"/>
      <family val="2"/>
      <charset val="162"/>
    </font>
    <font>
      <sz val="11"/>
      <color rgb="FFFF0000"/>
      <name val="Bahnschrift"/>
      <family val="2"/>
      <charset val="162"/>
    </font>
    <font>
      <sz val="10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b/>
      <sz val="11"/>
      <color theme="1"/>
      <name val="Bahnschrift"/>
      <family val="2"/>
      <charset val="162"/>
    </font>
    <font>
      <sz val="10"/>
      <color theme="1"/>
      <name val="Bahnschrift"/>
      <family val="2"/>
      <charset val="162"/>
    </font>
    <font>
      <b/>
      <sz val="11"/>
      <color rgb="FFFF0000"/>
      <name val="Bahnschrift"/>
      <family val="2"/>
      <charset val="162"/>
    </font>
    <font>
      <sz val="11"/>
      <color rgb="FF002060"/>
      <name val="Bahnschrift"/>
      <family val="2"/>
      <charset val="162"/>
    </font>
    <font>
      <b/>
      <sz val="11"/>
      <color rgb="FF002060"/>
      <name val="Bahnschrift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0">
    <xf numFmtId="0" fontId="0" fillId="0" borderId="0" xfId="0"/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0" fontId="4" fillId="0" borderId="0" xfId="0" applyFont="1" applyAlignment="1">
      <alignment horizontal="center" vertical="center" shrinkToFit="1"/>
    </xf>
    <xf numFmtId="0" fontId="4" fillId="0" borderId="2" xfId="0" applyFont="1" applyBorder="1"/>
    <xf numFmtId="164" fontId="11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164" fontId="13" fillId="0" borderId="1" xfId="0" applyNumberFormat="1" applyFont="1" applyBorder="1" applyAlignment="1">
      <alignment horizontal="center" vertical="center"/>
    </xf>
    <xf numFmtId="9" fontId="1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shrinkToFit="1"/>
    </xf>
    <xf numFmtId="165" fontId="4" fillId="0" borderId="1" xfId="0" applyNumberFormat="1" applyFont="1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165" fontId="13" fillId="0" borderId="1" xfId="0" applyNumberFormat="1" applyFont="1" applyBorder="1" applyAlignment="1">
      <alignment horizontal="center" shrinkToFit="1"/>
    </xf>
    <xf numFmtId="164" fontId="11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" fontId="9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center"/>
    </xf>
    <xf numFmtId="4" fontId="1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166" fontId="4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6" fillId="0" borderId="1" xfId="0" applyFont="1" applyBorder="1" applyAlignment="1">
      <alignment horizontal="left" vertical="center"/>
    </xf>
    <xf numFmtId="0" fontId="0" fillId="0" borderId="1" xfId="0" applyBorder="1"/>
    <xf numFmtId="0" fontId="1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vertical="center"/>
    </xf>
    <xf numFmtId="167" fontId="0" fillId="0" borderId="1" xfId="0" applyNumberFormat="1" applyBorder="1" applyAlignment="1">
      <alignment horizontal="left"/>
    </xf>
    <xf numFmtId="167" fontId="0" fillId="3" borderId="1" xfId="0" applyNumberFormat="1" applyFill="1" applyBorder="1" applyAlignment="1">
      <alignment horizontal="left"/>
    </xf>
    <xf numFmtId="0" fontId="18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5" borderId="1" xfId="0" applyFont="1" applyFill="1" applyBorder="1" applyAlignment="1">
      <alignment vertical="center"/>
    </xf>
    <xf numFmtId="7" fontId="15" fillId="0" borderId="1" xfId="0" applyNumberFormat="1" applyFont="1" applyBorder="1" applyAlignment="1">
      <alignment horizontal="center" vertical="center"/>
    </xf>
    <xf numFmtId="168" fontId="19" fillId="2" borderId="1" xfId="0" applyNumberFormat="1" applyFont="1" applyFill="1" applyBorder="1" applyAlignment="1">
      <alignment horizontal="center" vertical="center" wrapText="1"/>
    </xf>
    <xf numFmtId="7" fontId="3" fillId="2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/>
    </xf>
    <xf numFmtId="0" fontId="14" fillId="0" borderId="1" xfId="0" applyFont="1" applyBorder="1" applyAlignment="1">
      <alignment horizontal="center" shrinkToFit="1"/>
    </xf>
    <xf numFmtId="166" fontId="4" fillId="0" borderId="1" xfId="0" applyNumberFormat="1" applyFont="1" applyBorder="1" applyAlignment="1">
      <alignment horizontal="center" shrinkToFit="1"/>
    </xf>
    <xf numFmtId="168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1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1" applyFont="1" applyBorder="1" applyAlignment="1">
      <alignment horizontal="center" vertical="center"/>
    </xf>
    <xf numFmtId="44" fontId="6" fillId="0" borderId="0" xfId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11" fillId="2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 shrinkToFit="1"/>
    </xf>
    <xf numFmtId="164" fontId="4" fillId="0" borderId="5" xfId="0" applyNumberFormat="1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164" fontId="4" fillId="0" borderId="1" xfId="0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4" fillId="0" borderId="2" xfId="0" applyFont="1" applyBorder="1"/>
    <xf numFmtId="0" fontId="13" fillId="0" borderId="3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top" wrapText="1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colors>
    <mruColors>
      <color rgb="FF55EE08"/>
      <color rgb="FF00D0BC"/>
      <color rgb="FF61F5DC"/>
      <color rgb="FFBFE5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200025</xdr:colOff>
      <xdr:row>15</xdr:row>
      <xdr:rowOff>0</xdr:rowOff>
    </xdr:from>
    <xdr:ext cx="184731" cy="264560"/>
    <xdr:sp macro="" textlink="">
      <xdr:nvSpPr>
        <xdr:cNvPr id="5" name="Metin kutusu 4">
          <a:extLst>
            <a:ext uri="{FF2B5EF4-FFF2-40B4-BE49-F238E27FC236}">
              <a16:creationId xmlns:a16="http://schemas.microsoft.com/office/drawing/2014/main" id="{BB13D9F3-8C46-4C3C-83D9-1917AAAE86A4}"/>
            </a:ext>
          </a:extLst>
        </xdr:cNvPr>
        <xdr:cNvSpPr txBox="1"/>
      </xdr:nvSpPr>
      <xdr:spPr>
        <a:xfrm>
          <a:off x="13287375" y="295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showWhiteSpace="0" view="pageLayout" topLeftCell="A5" zoomScaleNormal="100" workbookViewId="0">
      <selection activeCell="G18" sqref="G18"/>
    </sheetView>
  </sheetViews>
  <sheetFormatPr defaultColWidth="9.140625" defaultRowHeight="14.25" x14ac:dyDescent="0.2"/>
  <cols>
    <col min="1" max="1" width="16" style="44" customWidth="1"/>
    <col min="2" max="2" width="14.42578125" style="44" customWidth="1"/>
    <col min="3" max="3" width="18.85546875" style="44" customWidth="1"/>
    <col min="4" max="4" width="17.5703125" style="44" customWidth="1"/>
    <col min="5" max="5" width="20.140625" style="44" customWidth="1"/>
    <col min="6" max="7" width="12.5703125" style="44" customWidth="1"/>
    <col min="8" max="8" width="2.42578125" style="44" customWidth="1"/>
    <col min="9" max="10" width="12.5703125" style="44" customWidth="1"/>
    <col min="11" max="11" width="2.42578125" style="44" customWidth="1"/>
    <col min="12" max="16384" width="9.140625" style="44"/>
  </cols>
  <sheetData>
    <row r="1" spans="1:11" ht="27.75" customHeight="1" x14ac:dyDescent="0.2">
      <c r="A1" s="41" t="s">
        <v>28</v>
      </c>
      <c r="B1" s="41" t="s">
        <v>29</v>
      </c>
      <c r="C1" s="41" t="s">
        <v>30</v>
      </c>
      <c r="D1" s="41" t="s">
        <v>31</v>
      </c>
      <c r="E1" s="42" t="s">
        <v>32</v>
      </c>
      <c r="F1" s="76" t="s">
        <v>33</v>
      </c>
      <c r="G1" s="76"/>
      <c r="H1" s="43"/>
      <c r="I1" s="76" t="s">
        <v>30</v>
      </c>
      <c r="J1" s="76"/>
      <c r="K1" s="43"/>
    </row>
    <row r="2" spans="1:11" x14ac:dyDescent="0.2">
      <c r="A2" s="49"/>
      <c r="B2" s="46"/>
      <c r="C2" s="46"/>
      <c r="D2" s="46"/>
      <c r="E2" s="46">
        <f>B2*C2*D2</f>
        <v>0</v>
      </c>
      <c r="F2" s="26" t="s">
        <v>35</v>
      </c>
      <c r="G2" s="46">
        <v>300</v>
      </c>
      <c r="H2" s="47"/>
      <c r="I2" s="26" t="s">
        <v>35</v>
      </c>
      <c r="J2" s="46">
        <v>3</v>
      </c>
      <c r="K2" s="47"/>
    </row>
    <row r="3" spans="1:11" x14ac:dyDescent="0.2">
      <c r="A3" s="49"/>
      <c r="B3" s="46"/>
      <c r="C3" s="46"/>
      <c r="D3" s="46"/>
      <c r="E3" s="46">
        <f t="shared" ref="E3:E5" si="0">B3*C3*D3</f>
        <v>0</v>
      </c>
      <c r="F3" s="25" t="s">
        <v>36</v>
      </c>
      <c r="G3" s="22">
        <v>250</v>
      </c>
      <c r="H3" s="47"/>
      <c r="I3" s="26" t="s">
        <v>36</v>
      </c>
      <c r="J3" s="46">
        <v>2.5</v>
      </c>
      <c r="K3" s="47"/>
    </row>
    <row r="4" spans="1:11" ht="26.25" customHeight="1" x14ac:dyDescent="0.2">
      <c r="A4" s="49"/>
      <c r="B4" s="46"/>
      <c r="C4" s="46"/>
      <c r="D4" s="46"/>
      <c r="E4" s="46">
        <f t="shared" si="0"/>
        <v>0</v>
      </c>
      <c r="F4" s="26" t="s">
        <v>37</v>
      </c>
      <c r="G4" s="46">
        <v>200</v>
      </c>
      <c r="H4" s="47"/>
      <c r="I4" s="26" t="s">
        <v>37</v>
      </c>
      <c r="J4" s="46">
        <v>2.2000000000000002</v>
      </c>
      <c r="K4" s="47"/>
    </row>
    <row r="5" spans="1:11" x14ac:dyDescent="0.2">
      <c r="A5" s="49"/>
      <c r="B5" s="46"/>
      <c r="C5" s="62"/>
      <c r="D5" s="62"/>
      <c r="E5" s="46">
        <f t="shared" si="0"/>
        <v>0</v>
      </c>
      <c r="F5" s="49" t="s">
        <v>38</v>
      </c>
      <c r="G5" s="46">
        <v>160</v>
      </c>
      <c r="H5" s="47"/>
      <c r="I5" s="49" t="s">
        <v>38</v>
      </c>
      <c r="J5" s="46">
        <v>2</v>
      </c>
      <c r="K5" s="47"/>
    </row>
    <row r="6" spans="1:11" x14ac:dyDescent="0.2">
      <c r="A6" s="49"/>
      <c r="B6" s="46"/>
      <c r="C6" s="62"/>
      <c r="D6" s="62"/>
      <c r="E6" s="51">
        <f t="shared" ref="E6:E17" si="1">B6*C6*D6</f>
        <v>0</v>
      </c>
      <c r="F6" s="26" t="s">
        <v>40</v>
      </c>
      <c r="G6" s="46">
        <v>160</v>
      </c>
      <c r="H6" s="47"/>
      <c r="I6" s="26" t="s">
        <v>40</v>
      </c>
      <c r="J6" s="46">
        <v>2</v>
      </c>
      <c r="K6" s="47"/>
    </row>
    <row r="7" spans="1:11" x14ac:dyDescent="0.2">
      <c r="A7" s="49"/>
      <c r="B7" s="46"/>
      <c r="C7" s="62"/>
      <c r="D7" s="62"/>
      <c r="E7" s="51">
        <f t="shared" si="1"/>
        <v>0</v>
      </c>
    </row>
    <row r="8" spans="1:11" s="50" customFormat="1" ht="28.35" customHeight="1" x14ac:dyDescent="0.25">
      <c r="A8" s="49"/>
      <c r="B8" s="46"/>
      <c r="C8" s="62"/>
      <c r="D8" s="62"/>
      <c r="E8" s="51">
        <f t="shared" si="1"/>
        <v>0</v>
      </c>
      <c r="F8" s="78" t="s">
        <v>34</v>
      </c>
      <c r="G8" s="78"/>
      <c r="I8" s="60" t="s">
        <v>63</v>
      </c>
      <c r="J8" s="59" t="s">
        <v>64</v>
      </c>
    </row>
    <row r="9" spans="1:11" x14ac:dyDescent="0.2">
      <c r="A9" s="49"/>
      <c r="B9" s="46"/>
      <c r="C9" s="62"/>
      <c r="D9" s="62"/>
      <c r="E9" s="51">
        <f t="shared" si="1"/>
        <v>0</v>
      </c>
      <c r="F9" s="72">
        <v>1.3878710000000001</v>
      </c>
      <c r="G9" s="72"/>
      <c r="I9" s="46" t="s">
        <v>60</v>
      </c>
      <c r="J9" s="46" t="s">
        <v>65</v>
      </c>
    </row>
    <row r="10" spans="1:11" ht="44.25" customHeight="1" x14ac:dyDescent="0.2">
      <c r="A10" s="49" t="s">
        <v>66</v>
      </c>
      <c r="B10" s="46">
        <v>20</v>
      </c>
      <c r="C10" s="62">
        <v>2</v>
      </c>
      <c r="D10" s="62">
        <v>5</v>
      </c>
      <c r="E10" s="51">
        <f t="shared" si="1"/>
        <v>200</v>
      </c>
    </row>
    <row r="11" spans="1:11" x14ac:dyDescent="0.2">
      <c r="A11" s="49"/>
      <c r="B11" s="46"/>
      <c r="C11" s="62"/>
      <c r="D11" s="62"/>
      <c r="E11" s="51">
        <f t="shared" si="1"/>
        <v>0</v>
      </c>
    </row>
    <row r="12" spans="1:11" ht="28.35" customHeight="1" x14ac:dyDescent="0.2">
      <c r="A12" s="49"/>
      <c r="B12" s="46"/>
      <c r="C12" s="62"/>
      <c r="D12" s="62"/>
      <c r="E12" s="51">
        <f t="shared" si="1"/>
        <v>0</v>
      </c>
    </row>
    <row r="13" spans="1:11" x14ac:dyDescent="0.2">
      <c r="A13" s="49"/>
      <c r="B13" s="46"/>
      <c r="C13" s="62"/>
      <c r="D13" s="62"/>
      <c r="E13" s="51">
        <f t="shared" si="1"/>
        <v>0</v>
      </c>
    </row>
    <row r="14" spans="1:11" x14ac:dyDescent="0.2">
      <c r="A14" s="49"/>
      <c r="B14" s="46"/>
      <c r="C14" s="62"/>
      <c r="D14" s="62"/>
      <c r="E14" s="51">
        <f t="shared" si="1"/>
        <v>0</v>
      </c>
    </row>
    <row r="15" spans="1:11" x14ac:dyDescent="0.2">
      <c r="A15" s="49"/>
      <c r="B15" s="46"/>
      <c r="C15" s="62"/>
      <c r="D15" s="62"/>
      <c r="E15" s="51">
        <f t="shared" si="1"/>
        <v>0</v>
      </c>
    </row>
    <row r="16" spans="1:11" x14ac:dyDescent="0.2">
      <c r="A16" s="49"/>
      <c r="B16" s="46"/>
      <c r="C16" s="62"/>
      <c r="D16" s="62"/>
      <c r="E16" s="51">
        <f t="shared" si="1"/>
        <v>0</v>
      </c>
    </row>
    <row r="17" spans="1:5" ht="28.35" customHeight="1" x14ac:dyDescent="0.2">
      <c r="A17" s="49"/>
      <c r="B17" s="46"/>
      <c r="C17" s="62"/>
      <c r="D17" s="62"/>
      <c r="E17" s="51">
        <f t="shared" si="1"/>
        <v>0</v>
      </c>
    </row>
    <row r="18" spans="1:5" x14ac:dyDescent="0.2">
      <c r="A18" s="46"/>
      <c r="B18" s="46"/>
      <c r="C18" s="46"/>
      <c r="D18" s="46">
        <f>SUM(D2:D17)</f>
        <v>5</v>
      </c>
      <c r="E18" s="46"/>
    </row>
    <row r="19" spans="1:5" x14ac:dyDescent="0.2">
      <c r="A19" s="77" t="s">
        <v>39</v>
      </c>
      <c r="B19" s="77"/>
      <c r="C19" s="77"/>
      <c r="D19" s="77"/>
      <c r="E19" s="48">
        <f>E2+E3+E4+E5+E6+E7+E8+E9+E10+E11+E12+E13+E14+E15+E16+E17</f>
        <v>200</v>
      </c>
    </row>
    <row r="21" spans="1:5" x14ac:dyDescent="0.2">
      <c r="A21" s="71" t="s">
        <v>41</v>
      </c>
      <c r="B21" s="71"/>
      <c r="C21" s="71"/>
      <c r="D21" s="75"/>
      <c r="E21" s="75"/>
    </row>
    <row r="22" spans="1:5" ht="42.75" x14ac:dyDescent="0.2">
      <c r="A22" s="51" t="s">
        <v>42</v>
      </c>
      <c r="B22" s="51" t="s">
        <v>43</v>
      </c>
      <c r="C22" s="52" t="s">
        <v>44</v>
      </c>
      <c r="D22" s="58" t="s">
        <v>45</v>
      </c>
      <c r="E22" s="56">
        <f>B23*C23</f>
        <v>3900</v>
      </c>
    </row>
    <row r="23" spans="1:5" x14ac:dyDescent="0.2">
      <c r="A23" s="57">
        <f>'DAĞ. MAKS. PAY. HESAPLAMA'!G31</f>
        <v>3920</v>
      </c>
      <c r="B23" s="46">
        <f>E19</f>
        <v>200</v>
      </c>
      <c r="C23" s="55">
        <v>19.5</v>
      </c>
      <c r="D23" s="69" t="s">
        <v>59</v>
      </c>
      <c r="E23" s="70"/>
    </row>
    <row r="25" spans="1:5" x14ac:dyDescent="0.2">
      <c r="A25" s="71" t="s">
        <v>58</v>
      </c>
      <c r="B25" s="71"/>
      <c r="C25" s="71"/>
      <c r="D25" s="71"/>
      <c r="E25" s="71"/>
    </row>
    <row r="26" spans="1:5" ht="42.75" x14ac:dyDescent="0.2">
      <c r="A26" s="45" t="s">
        <v>32</v>
      </c>
      <c r="B26" s="45" t="s">
        <v>44</v>
      </c>
      <c r="C26" s="45" t="s">
        <v>46</v>
      </c>
      <c r="D26" s="72" t="s">
        <v>47</v>
      </c>
      <c r="E26" s="72"/>
    </row>
    <row r="27" spans="1:5" x14ac:dyDescent="0.2">
      <c r="A27" s="46">
        <f>E19</f>
        <v>200</v>
      </c>
      <c r="B27" s="46">
        <f>C23</f>
        <v>19.5</v>
      </c>
      <c r="C27" s="46">
        <f>D18</f>
        <v>5</v>
      </c>
      <c r="D27" s="73">
        <f>A27*B27/C27</f>
        <v>780</v>
      </c>
      <c r="E27" s="73"/>
    </row>
    <row r="29" spans="1:5" x14ac:dyDescent="0.2">
      <c r="A29" s="44" t="s">
        <v>48</v>
      </c>
    </row>
    <row r="30" spans="1:5" x14ac:dyDescent="0.2">
      <c r="A30" s="71" t="s">
        <v>57</v>
      </c>
      <c r="B30" s="71"/>
      <c r="C30" s="71"/>
      <c r="D30" s="71"/>
      <c r="E30" s="71"/>
    </row>
    <row r="31" spans="1:5" ht="42.75" x14ac:dyDescent="0.2">
      <c r="A31" s="45" t="s">
        <v>49</v>
      </c>
      <c r="B31" s="45" t="s">
        <v>50</v>
      </c>
      <c r="C31" s="45" t="s">
        <v>51</v>
      </c>
      <c r="D31" s="74" t="s">
        <v>52</v>
      </c>
      <c r="E31" s="74"/>
    </row>
    <row r="32" spans="1:5" x14ac:dyDescent="0.2">
      <c r="A32" s="22">
        <v>160</v>
      </c>
      <c r="B32" s="46">
        <f>F9</f>
        <v>1.3878710000000001</v>
      </c>
      <c r="C32" s="53">
        <f>A32*B32*2</f>
        <v>444.11872000000005</v>
      </c>
      <c r="D32" s="67">
        <f>C32*1.6</f>
        <v>710.58995200000015</v>
      </c>
      <c r="E32" s="67"/>
    </row>
    <row r="34" spans="1:5" x14ac:dyDescent="0.2">
      <c r="A34" s="54" t="s">
        <v>53</v>
      </c>
      <c r="B34" s="68" t="s">
        <v>54</v>
      </c>
      <c r="C34" s="68"/>
      <c r="D34" s="68"/>
      <c r="E34" s="68"/>
    </row>
    <row r="35" spans="1:5" x14ac:dyDescent="0.2">
      <c r="A35" s="54" t="s">
        <v>55</v>
      </c>
      <c r="B35" s="68" t="s">
        <v>56</v>
      </c>
      <c r="C35" s="68"/>
      <c r="D35" s="68"/>
      <c r="E35" s="68"/>
    </row>
  </sheetData>
  <mergeCells count="15">
    <mergeCell ref="F9:G9"/>
    <mergeCell ref="A21:E21"/>
    <mergeCell ref="F1:G1"/>
    <mergeCell ref="I1:J1"/>
    <mergeCell ref="A19:D19"/>
    <mergeCell ref="F8:G8"/>
    <mergeCell ref="D32:E32"/>
    <mergeCell ref="B34:E34"/>
    <mergeCell ref="B35:E35"/>
    <mergeCell ref="D23:E23"/>
    <mergeCell ref="A25:E25"/>
    <mergeCell ref="D26:E26"/>
    <mergeCell ref="D27:E27"/>
    <mergeCell ref="A30:E30"/>
    <mergeCell ref="D31:E31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40"/>
  <sheetViews>
    <sheetView workbookViewId="0">
      <selection activeCell="G34" sqref="G34:I34"/>
    </sheetView>
  </sheetViews>
  <sheetFormatPr defaultRowHeight="15" x14ac:dyDescent="0.25"/>
  <cols>
    <col min="1" max="1" width="1" customWidth="1"/>
    <col min="2" max="2" width="3.5703125" customWidth="1"/>
    <col min="6" max="6" width="14.5703125" customWidth="1"/>
    <col min="7" max="7" width="17.140625" bestFit="1" customWidth="1"/>
    <col min="8" max="8" width="7.140625" customWidth="1"/>
    <col min="9" max="9" width="15.7109375" customWidth="1"/>
  </cols>
  <sheetData>
    <row r="1" spans="2:9" x14ac:dyDescent="0.25">
      <c r="B1" s="113" t="str">
        <f>LİSTE!A1</f>
        <v>T.C.
UŞAK ÜNİVERSİTESİ REKTÖRLÜĞÜ
DÖNER SERMAYE İŞLETME MÜDÜRLÜĞÜ
DERİ, TEKSTİL UYGULAMA VE ARAŞTIRMA MERKEZİ MÜDÜRLÜĞÜ
ÖĞR. GÖR. Dr. Neslihan ÖPÖZ VURAL DANIŞMANLIK HİZMET GELİRLERİ</v>
      </c>
      <c r="C1" s="113"/>
      <c r="D1" s="113"/>
      <c r="E1" s="113"/>
      <c r="F1" s="113"/>
      <c r="G1" s="113"/>
      <c r="H1" s="113"/>
      <c r="I1" s="113"/>
    </row>
    <row r="2" spans="2:9" x14ac:dyDescent="0.25">
      <c r="B2" s="113"/>
      <c r="C2" s="113"/>
      <c r="D2" s="113"/>
      <c r="E2" s="113"/>
      <c r="F2" s="113"/>
      <c r="G2" s="113"/>
      <c r="H2" s="113"/>
      <c r="I2" s="113"/>
    </row>
    <row r="3" spans="2:9" ht="70.5" customHeight="1" x14ac:dyDescent="0.25">
      <c r="B3" s="113"/>
      <c r="C3" s="113"/>
      <c r="D3" s="113"/>
      <c r="E3" s="113"/>
      <c r="F3" s="113"/>
      <c r="G3" s="113"/>
      <c r="H3" s="113"/>
      <c r="I3" s="113"/>
    </row>
    <row r="4" spans="2:9" ht="20.25" customHeight="1" x14ac:dyDescent="0.25">
      <c r="B4" s="119" t="s">
        <v>0</v>
      </c>
      <c r="C4" s="119"/>
      <c r="D4" s="119"/>
      <c r="E4" s="119"/>
      <c r="F4" s="119"/>
      <c r="G4" s="119"/>
      <c r="H4" s="119"/>
      <c r="I4" s="119"/>
    </row>
    <row r="5" spans="2:9" ht="26.25" hidden="1" customHeight="1" x14ac:dyDescent="0.25">
      <c r="B5" s="114"/>
      <c r="C5" s="114"/>
      <c r="D5" s="114"/>
      <c r="E5" s="114"/>
      <c r="F5" s="114"/>
      <c r="G5" s="114"/>
      <c r="H5" s="114"/>
      <c r="I5" s="8"/>
    </row>
    <row r="6" spans="2:9" ht="15.75" hidden="1" thickBot="1" x14ac:dyDescent="0.3">
      <c r="B6" s="115" t="s">
        <v>1</v>
      </c>
      <c r="C6" s="116"/>
      <c r="D6" s="117"/>
      <c r="E6" s="115" t="s">
        <v>2</v>
      </c>
      <c r="F6" s="117"/>
      <c r="G6" s="115" t="s">
        <v>3</v>
      </c>
      <c r="H6" s="117"/>
      <c r="I6" s="118"/>
    </row>
    <row r="7" spans="2:9" ht="15.75" hidden="1" thickBot="1" x14ac:dyDescent="0.3">
      <c r="B7" s="106">
        <v>46</v>
      </c>
      <c r="C7" s="107"/>
      <c r="D7" s="108"/>
      <c r="E7" s="104">
        <f>ROUND((I27/1.08)+(I28/1.08)+(I29/1.08),2)</f>
        <v>86620.37</v>
      </c>
      <c r="F7" s="105"/>
      <c r="G7" s="104">
        <f>I27+I28+I29</f>
        <v>93550</v>
      </c>
      <c r="H7" s="105"/>
      <c r="I7" s="109"/>
    </row>
    <row r="8" spans="2:9" ht="15.75" hidden="1" thickBot="1" x14ac:dyDescent="0.3">
      <c r="B8" s="106"/>
      <c r="C8" s="107"/>
      <c r="D8" s="108"/>
      <c r="E8" s="104"/>
      <c r="F8" s="105"/>
      <c r="G8" s="104">
        <f>I30</f>
        <v>93550</v>
      </c>
      <c r="H8" s="105"/>
      <c r="I8" s="7"/>
    </row>
    <row r="9" spans="2:9" hidden="1" x14ac:dyDescent="0.25">
      <c r="B9" s="109"/>
      <c r="C9" s="110"/>
      <c r="D9" s="110"/>
      <c r="E9" s="110"/>
      <c r="F9" s="110"/>
      <c r="G9" s="110"/>
      <c r="H9" s="110"/>
      <c r="I9" s="110"/>
    </row>
    <row r="10" spans="2:9" x14ac:dyDescent="0.25">
      <c r="B10" s="111" t="s">
        <v>4</v>
      </c>
      <c r="C10" s="111"/>
      <c r="D10" s="111"/>
      <c r="E10" s="111" t="s">
        <v>62</v>
      </c>
      <c r="F10" s="111"/>
      <c r="G10" s="111" t="s">
        <v>5</v>
      </c>
      <c r="H10" s="111"/>
      <c r="I10" s="111"/>
    </row>
    <row r="11" spans="2:9" x14ac:dyDescent="0.25">
      <c r="B11" s="112">
        <f>LİSTE!A18</f>
        <v>8000</v>
      </c>
      <c r="C11" s="112"/>
      <c r="D11" s="112"/>
      <c r="E11" s="112">
        <f>LİSTE!C18</f>
        <v>1600</v>
      </c>
      <c r="F11" s="112"/>
      <c r="G11" s="112">
        <f>LİSTE!D18</f>
        <v>9600</v>
      </c>
      <c r="H11" s="112"/>
      <c r="I11" s="112"/>
    </row>
    <row r="12" spans="2:9" x14ac:dyDescent="0.25">
      <c r="B12" s="103"/>
      <c r="C12" s="103"/>
      <c r="D12" s="103"/>
      <c r="E12" s="103"/>
      <c r="F12" s="103"/>
      <c r="G12" s="103"/>
      <c r="H12" s="103"/>
      <c r="I12" s="103"/>
    </row>
    <row r="13" spans="2:9" ht="21.75" customHeight="1" x14ac:dyDescent="0.25">
      <c r="B13" s="86" t="s">
        <v>6</v>
      </c>
      <c r="C13" s="86"/>
      <c r="D13" s="86"/>
      <c r="E13" s="86"/>
      <c r="F13" s="86"/>
      <c r="G13" s="86"/>
      <c r="H13" s="86"/>
      <c r="I13" s="86"/>
    </row>
    <row r="14" spans="2:9" ht="13.5" hidden="1" customHeight="1" x14ac:dyDescent="0.25">
      <c r="B14" s="103"/>
      <c r="C14" s="103"/>
      <c r="D14" s="103"/>
      <c r="E14" s="103"/>
      <c r="F14" s="103"/>
      <c r="G14" s="103"/>
      <c r="H14" s="103"/>
      <c r="I14" s="103"/>
    </row>
    <row r="15" spans="2:9" x14ac:dyDescent="0.25">
      <c r="B15" s="98" t="s">
        <v>7</v>
      </c>
      <c r="C15" s="98"/>
      <c r="D15" s="98"/>
      <c r="E15" s="98"/>
      <c r="F15" s="98"/>
      <c r="G15" s="20">
        <f>ROUND(B11*0.01,2)</f>
        <v>80</v>
      </c>
      <c r="H15" s="97">
        <v>0.01</v>
      </c>
      <c r="I15" s="97"/>
    </row>
    <row r="16" spans="2:9" x14ac:dyDescent="0.25">
      <c r="B16" s="98" t="s">
        <v>8</v>
      </c>
      <c r="C16" s="98"/>
      <c r="D16" s="98"/>
      <c r="E16" s="98"/>
      <c r="F16" s="98"/>
      <c r="G16" s="20">
        <f>ROUND(B11*0.05,2)</f>
        <v>400</v>
      </c>
      <c r="H16" s="97">
        <v>0.05</v>
      </c>
      <c r="I16" s="97"/>
    </row>
    <row r="17" spans="2:9" x14ac:dyDescent="0.25">
      <c r="B17" s="98" t="s">
        <v>9</v>
      </c>
      <c r="C17" s="98"/>
      <c r="D17" s="98"/>
      <c r="E17" s="98"/>
      <c r="F17" s="98"/>
      <c r="G17" s="20">
        <f>ROUND(B11*H17,2)</f>
        <v>3600</v>
      </c>
      <c r="H17" s="97">
        <v>0.45</v>
      </c>
      <c r="I17" s="97"/>
    </row>
    <row r="18" spans="2:9" hidden="1" x14ac:dyDescent="0.25">
      <c r="B18" s="99" t="s">
        <v>10</v>
      </c>
      <c r="C18" s="99"/>
      <c r="D18" s="99"/>
      <c r="E18" s="99"/>
      <c r="F18" s="99"/>
      <c r="G18" s="9">
        <f>B11-(G15+G16+G17)</f>
        <v>3920</v>
      </c>
      <c r="H18" s="10"/>
      <c r="I18" s="11"/>
    </row>
    <row r="19" spans="2:9" hidden="1" x14ac:dyDescent="0.25">
      <c r="B19" s="100" t="s">
        <v>11</v>
      </c>
      <c r="C19" s="100"/>
      <c r="D19" s="100"/>
      <c r="E19" s="100"/>
      <c r="F19" s="100"/>
      <c r="G19" s="12">
        <f>G15+G16+G17+G18</f>
        <v>8000</v>
      </c>
      <c r="H19" s="13"/>
      <c r="I19" s="14"/>
    </row>
    <row r="20" spans="2:9" hidden="1" x14ac:dyDescent="0.25">
      <c r="B20" s="101"/>
      <c r="C20" s="101"/>
      <c r="D20" s="101"/>
      <c r="E20" s="101"/>
      <c r="F20" s="101"/>
      <c r="G20" s="101"/>
      <c r="H20" s="101"/>
      <c r="I20" s="101"/>
    </row>
    <row r="21" spans="2:9" hidden="1" x14ac:dyDescent="0.25">
      <c r="B21" s="102" t="s">
        <v>12</v>
      </c>
      <c r="C21" s="102"/>
      <c r="D21" s="102"/>
      <c r="E21" s="102"/>
      <c r="F21" s="102"/>
      <c r="G21" s="102"/>
      <c r="H21" s="96">
        <f>B11-G19</f>
        <v>0</v>
      </c>
      <c r="I21" s="96"/>
    </row>
    <row r="22" spans="2:9" hidden="1" x14ac:dyDescent="0.25">
      <c r="B22" s="94" t="s">
        <v>13</v>
      </c>
      <c r="C22" s="94"/>
      <c r="D22" s="94"/>
      <c r="E22" s="94"/>
      <c r="F22" s="94"/>
      <c r="G22" s="94"/>
      <c r="H22" s="96" t="e">
        <f>#REF!</f>
        <v>#REF!</v>
      </c>
      <c r="I22" s="96"/>
    </row>
    <row r="23" spans="2:9" hidden="1" x14ac:dyDescent="0.25">
      <c r="B23" s="3"/>
      <c r="C23" s="3"/>
      <c r="D23" s="3"/>
      <c r="E23" s="3"/>
      <c r="F23" s="3"/>
      <c r="G23" s="3"/>
      <c r="H23" s="3"/>
      <c r="I23" s="3"/>
    </row>
    <row r="24" spans="2:9" ht="13.5" hidden="1" customHeight="1" x14ac:dyDescent="0.25">
      <c r="B24" s="1" t="s">
        <v>14</v>
      </c>
      <c r="C24" s="1"/>
      <c r="D24" s="1"/>
      <c r="E24" s="1"/>
      <c r="F24" s="1"/>
      <c r="G24" s="3"/>
      <c r="H24" s="3"/>
      <c r="I24" s="3"/>
    </row>
    <row r="25" spans="2:9" ht="14.25" hidden="1" customHeight="1" x14ac:dyDescent="0.25">
      <c r="B25" s="94" t="s">
        <v>15</v>
      </c>
      <c r="C25" s="94"/>
      <c r="D25" s="94"/>
      <c r="E25" s="15" t="s">
        <v>16</v>
      </c>
      <c r="F25" s="15"/>
      <c r="G25" s="95" t="s">
        <v>17</v>
      </c>
      <c r="H25" s="95" t="s">
        <v>18</v>
      </c>
      <c r="I25" s="95" t="s">
        <v>19</v>
      </c>
    </row>
    <row r="26" spans="2:9" ht="14.25" hidden="1" customHeight="1" x14ac:dyDescent="0.25">
      <c r="B26" s="94"/>
      <c r="C26" s="94"/>
      <c r="D26" s="94"/>
      <c r="E26" s="15" t="s">
        <v>20</v>
      </c>
      <c r="F26" s="15" t="s">
        <v>21</v>
      </c>
      <c r="G26" s="95"/>
      <c r="H26" s="95"/>
      <c r="I26" s="95"/>
    </row>
    <row r="27" spans="2:9" ht="14.25" hidden="1" customHeight="1" x14ac:dyDescent="0.25">
      <c r="B27" s="88"/>
      <c r="C27" s="88"/>
      <c r="D27" s="88"/>
      <c r="E27" s="16">
        <v>1</v>
      </c>
      <c r="F27" s="16"/>
      <c r="G27" s="16">
        <v>371600</v>
      </c>
      <c r="H27" s="17">
        <f>ROUND(H$21/E$30*E27,2)</f>
        <v>0</v>
      </c>
      <c r="I27" s="17">
        <v>93550</v>
      </c>
    </row>
    <row r="28" spans="2:9" ht="14.25" hidden="1" customHeight="1" x14ac:dyDescent="0.25">
      <c r="B28" s="88"/>
      <c r="C28" s="88"/>
      <c r="D28" s="88"/>
      <c r="E28" s="16"/>
      <c r="F28" s="16"/>
      <c r="G28" s="16"/>
      <c r="H28" s="17"/>
      <c r="I28" s="17"/>
    </row>
    <row r="29" spans="2:9" ht="14.25" hidden="1" customHeight="1" x14ac:dyDescent="0.25">
      <c r="B29" s="88"/>
      <c r="C29" s="88"/>
      <c r="D29" s="88"/>
      <c r="E29" s="16"/>
      <c r="F29" s="16"/>
      <c r="G29" s="16"/>
      <c r="H29" s="17"/>
      <c r="I29" s="17"/>
    </row>
    <row r="30" spans="2:9" ht="21" hidden="1" customHeight="1" x14ac:dyDescent="0.25">
      <c r="B30" s="89" t="s">
        <v>19</v>
      </c>
      <c r="C30" s="89"/>
      <c r="D30" s="89"/>
      <c r="E30" s="18">
        <f>SUM(E27:E29)</f>
        <v>1</v>
      </c>
      <c r="F30" s="18"/>
      <c r="G30" s="18">
        <f>SUM(G27:G29)</f>
        <v>371600</v>
      </c>
      <c r="H30" s="19">
        <f>SUM(H27:H29)</f>
        <v>0</v>
      </c>
      <c r="I30" s="19">
        <f>SUM(I27:I29)</f>
        <v>93550</v>
      </c>
    </row>
    <row r="31" spans="2:9" ht="15.75" x14ac:dyDescent="0.25">
      <c r="B31" s="93" t="s">
        <v>22</v>
      </c>
      <c r="C31" s="93"/>
      <c r="D31" s="93"/>
      <c r="E31" s="93"/>
      <c r="F31" s="93"/>
      <c r="G31" s="32">
        <f>ROUND(B11*H31,2)</f>
        <v>3920</v>
      </c>
      <c r="H31" s="90">
        <v>0.49</v>
      </c>
      <c r="I31" s="91"/>
    </row>
    <row r="32" spans="2:9" ht="15.75" x14ac:dyDescent="0.25">
      <c r="B32" s="2"/>
      <c r="C32" s="2"/>
      <c r="D32" s="2"/>
      <c r="E32" s="2"/>
      <c r="F32" s="2"/>
      <c r="G32" s="2"/>
      <c r="H32" s="2"/>
      <c r="I32" s="2"/>
    </row>
    <row r="33" spans="2:9" ht="15.75" x14ac:dyDescent="0.25">
      <c r="B33" s="92"/>
      <c r="C33" s="92"/>
      <c r="D33" s="92"/>
      <c r="E33" s="92"/>
      <c r="F33" s="92"/>
      <c r="G33" s="92"/>
      <c r="H33" s="92"/>
      <c r="I33" s="92"/>
    </row>
    <row r="34" spans="2:9" ht="15.75" x14ac:dyDescent="0.25">
      <c r="B34" s="84"/>
      <c r="C34" s="84"/>
      <c r="D34" s="84"/>
      <c r="E34" s="84"/>
      <c r="F34" s="85"/>
      <c r="G34" s="86"/>
      <c r="H34" s="86"/>
      <c r="I34" s="86"/>
    </row>
    <row r="35" spans="2:9" x14ac:dyDescent="0.25">
      <c r="B35" s="87"/>
      <c r="C35" s="87"/>
      <c r="D35" s="87"/>
      <c r="E35" s="87"/>
      <c r="F35" s="85"/>
      <c r="G35" s="87"/>
      <c r="H35" s="87"/>
      <c r="I35" s="87"/>
    </row>
    <row r="36" spans="2:9" x14ac:dyDescent="0.25">
      <c r="B36" s="79"/>
      <c r="C36" s="79"/>
      <c r="D36" s="79"/>
      <c r="E36" s="79"/>
      <c r="F36" s="79"/>
      <c r="G36" s="79"/>
      <c r="H36" s="79"/>
      <c r="I36" s="79"/>
    </row>
    <row r="37" spans="2:9" x14ac:dyDescent="0.25">
      <c r="B37" s="79"/>
      <c r="C37" s="79"/>
      <c r="D37" s="79"/>
      <c r="E37" s="79"/>
      <c r="F37" s="79"/>
      <c r="G37" s="79"/>
      <c r="H37" s="79"/>
      <c r="I37" s="79"/>
    </row>
    <row r="38" spans="2:9" x14ac:dyDescent="0.25">
      <c r="B38" s="79"/>
      <c r="C38" s="79"/>
      <c r="D38" s="79"/>
      <c r="E38" s="79"/>
      <c r="F38" s="79"/>
      <c r="G38" s="79"/>
      <c r="H38" s="79"/>
      <c r="I38" s="79"/>
    </row>
    <row r="39" spans="2:9" x14ac:dyDescent="0.25">
      <c r="B39" s="80"/>
      <c r="C39" s="80"/>
      <c r="D39" s="80"/>
      <c r="E39" s="80"/>
      <c r="F39" s="81"/>
      <c r="G39" s="80"/>
      <c r="H39" s="80"/>
      <c r="I39" s="80"/>
    </row>
    <row r="40" spans="2:9" x14ac:dyDescent="0.25">
      <c r="B40" s="80"/>
      <c r="C40" s="80"/>
      <c r="D40" s="80"/>
      <c r="E40" s="80"/>
      <c r="F40" s="81"/>
      <c r="G40" s="82"/>
      <c r="H40" s="83"/>
      <c r="I40" s="83"/>
    </row>
  </sheetData>
  <mergeCells count="58">
    <mergeCell ref="B1:I3"/>
    <mergeCell ref="B5:H5"/>
    <mergeCell ref="B6:D6"/>
    <mergeCell ref="E6:F6"/>
    <mergeCell ref="G6:H6"/>
    <mergeCell ref="I6:I7"/>
    <mergeCell ref="B7:D7"/>
    <mergeCell ref="E7:F7"/>
    <mergeCell ref="B4:I4"/>
    <mergeCell ref="B14:I14"/>
    <mergeCell ref="G7:H7"/>
    <mergeCell ref="B8:D8"/>
    <mergeCell ref="E8:F8"/>
    <mergeCell ref="G8:H8"/>
    <mergeCell ref="B9:I9"/>
    <mergeCell ref="E10:F10"/>
    <mergeCell ref="G10:I10"/>
    <mergeCell ref="G11:I11"/>
    <mergeCell ref="B10:D10"/>
    <mergeCell ref="B11:D11"/>
    <mergeCell ref="E11:F11"/>
    <mergeCell ref="B12:I12"/>
    <mergeCell ref="B13:I13"/>
    <mergeCell ref="B22:G22"/>
    <mergeCell ref="H22:I22"/>
    <mergeCell ref="H15:I15"/>
    <mergeCell ref="H16:I16"/>
    <mergeCell ref="H17:I17"/>
    <mergeCell ref="B15:F15"/>
    <mergeCell ref="B16:F16"/>
    <mergeCell ref="B17:F17"/>
    <mergeCell ref="B18:F18"/>
    <mergeCell ref="B19:F19"/>
    <mergeCell ref="B20:I20"/>
    <mergeCell ref="B21:G21"/>
    <mergeCell ref="H21:I21"/>
    <mergeCell ref="B25:D26"/>
    <mergeCell ref="G25:G26"/>
    <mergeCell ref="H25:H26"/>
    <mergeCell ref="I25:I26"/>
    <mergeCell ref="B27:D27"/>
    <mergeCell ref="B28:D28"/>
    <mergeCell ref="B29:D29"/>
    <mergeCell ref="B30:D30"/>
    <mergeCell ref="H31:I31"/>
    <mergeCell ref="B33:I33"/>
    <mergeCell ref="B31:F31"/>
    <mergeCell ref="B34:E34"/>
    <mergeCell ref="F34:F35"/>
    <mergeCell ref="G34:I34"/>
    <mergeCell ref="B35:E35"/>
    <mergeCell ref="G35:I35"/>
    <mergeCell ref="B36:I38"/>
    <mergeCell ref="B39:E39"/>
    <mergeCell ref="F39:F40"/>
    <mergeCell ref="G39:I39"/>
    <mergeCell ref="B40:E40"/>
    <mergeCell ref="G40:I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topLeftCell="A14" zoomScale="160" zoomScaleNormal="160" workbookViewId="0">
      <selection sqref="A1:D1"/>
    </sheetView>
  </sheetViews>
  <sheetFormatPr defaultRowHeight="15" x14ac:dyDescent="0.25"/>
  <cols>
    <col min="1" max="1" width="4.140625" customWidth="1"/>
    <col min="2" max="2" width="15.5703125" bestFit="1" customWidth="1"/>
    <col min="3" max="3" width="47.85546875" customWidth="1"/>
    <col min="4" max="4" width="16.5703125" style="4" customWidth="1"/>
  </cols>
  <sheetData>
    <row r="1" spans="1:6" ht="90" customHeight="1" x14ac:dyDescent="0.25">
      <c r="A1" s="63" t="s">
        <v>67</v>
      </c>
      <c r="B1" s="63"/>
      <c r="C1" s="63"/>
      <c r="D1" s="63"/>
      <c r="E1" s="5"/>
      <c r="F1" s="5"/>
    </row>
    <row r="2" spans="1:6" x14ac:dyDescent="0.25">
      <c r="A2" s="21" t="s">
        <v>23</v>
      </c>
      <c r="B2" s="22" t="s">
        <v>24</v>
      </c>
      <c r="C2" s="23" t="s">
        <v>25</v>
      </c>
      <c r="D2" s="24" t="s">
        <v>27</v>
      </c>
      <c r="E2" s="5"/>
      <c r="F2" s="5"/>
    </row>
    <row r="3" spans="1:6" x14ac:dyDescent="0.25">
      <c r="A3" s="21">
        <v>1</v>
      </c>
      <c r="B3" s="25"/>
      <c r="C3" s="61" t="s">
        <v>61</v>
      </c>
      <c r="D3" s="39"/>
      <c r="E3" s="5"/>
      <c r="F3" s="5"/>
    </row>
    <row r="4" spans="1:6" x14ac:dyDescent="0.25">
      <c r="A4" s="21">
        <v>2</v>
      </c>
      <c r="B4" s="25"/>
      <c r="C4" s="35"/>
      <c r="D4" s="40"/>
      <c r="E4" s="5"/>
      <c r="F4" s="5"/>
    </row>
    <row r="5" spans="1:6" x14ac:dyDescent="0.25">
      <c r="A5" s="21">
        <v>3</v>
      </c>
      <c r="B5" s="25"/>
      <c r="C5" s="35"/>
      <c r="D5" s="39"/>
      <c r="E5" s="5"/>
      <c r="F5" s="5"/>
    </row>
    <row r="6" spans="1:6" x14ac:dyDescent="0.25">
      <c r="A6" s="21">
        <v>4</v>
      </c>
      <c r="B6" s="26"/>
      <c r="C6" s="36"/>
      <c r="D6" s="39"/>
      <c r="E6" s="5"/>
      <c r="F6" s="5"/>
    </row>
    <row r="7" spans="1:6" x14ac:dyDescent="0.25">
      <c r="A7" s="21">
        <v>5</v>
      </c>
      <c r="B7" s="26"/>
      <c r="C7" s="34"/>
      <c r="D7" s="39"/>
      <c r="E7" s="5"/>
      <c r="F7" s="5"/>
    </row>
    <row r="8" spans="1:6" x14ac:dyDescent="0.25">
      <c r="A8" s="21">
        <v>6</v>
      </c>
      <c r="B8" s="26"/>
      <c r="C8" s="37"/>
      <c r="D8" s="39"/>
      <c r="E8" s="5"/>
      <c r="F8" s="5"/>
    </row>
    <row r="9" spans="1:6" x14ac:dyDescent="0.25">
      <c r="A9" s="21">
        <v>7</v>
      </c>
      <c r="B9" s="26"/>
      <c r="C9" s="34"/>
      <c r="D9" s="39"/>
      <c r="E9" s="5"/>
      <c r="F9" s="5"/>
    </row>
    <row r="10" spans="1:6" x14ac:dyDescent="0.25">
      <c r="A10" s="21">
        <v>8</v>
      </c>
      <c r="B10" s="26"/>
      <c r="C10" s="34"/>
      <c r="D10" s="39"/>
      <c r="E10" s="5"/>
      <c r="F10" s="5"/>
    </row>
    <row r="11" spans="1:6" x14ac:dyDescent="0.25">
      <c r="A11" s="21">
        <v>9</v>
      </c>
      <c r="B11" s="26"/>
      <c r="C11" s="38"/>
      <c r="D11" s="39"/>
      <c r="E11" s="5"/>
      <c r="F11" s="5"/>
    </row>
    <row r="12" spans="1:6" x14ac:dyDescent="0.25">
      <c r="A12" s="21">
        <v>10</v>
      </c>
      <c r="B12" s="26"/>
      <c r="C12" s="34"/>
      <c r="D12" s="39"/>
      <c r="E12" s="5"/>
      <c r="F12" s="5"/>
    </row>
    <row r="13" spans="1:6" x14ac:dyDescent="0.25">
      <c r="A13" s="21">
        <v>11</v>
      </c>
      <c r="B13" s="26"/>
      <c r="C13" s="34"/>
      <c r="D13" s="39"/>
      <c r="E13" s="5"/>
      <c r="F13" s="5"/>
    </row>
    <row r="14" spans="1:6" x14ac:dyDescent="0.25">
      <c r="A14" s="21">
        <v>12</v>
      </c>
      <c r="B14" s="26"/>
      <c r="C14" s="33"/>
      <c r="D14" s="39"/>
      <c r="E14" s="5"/>
      <c r="F14" s="5"/>
    </row>
    <row r="15" spans="1:6" x14ac:dyDescent="0.25">
      <c r="A15" s="21">
        <v>13</v>
      </c>
      <c r="B15" s="26"/>
      <c r="C15" s="35"/>
      <c r="D15" s="39"/>
      <c r="E15" s="5"/>
      <c r="F15" s="5"/>
    </row>
    <row r="16" spans="1:6" ht="18" x14ac:dyDescent="0.25">
      <c r="A16" s="64" t="s">
        <v>26</v>
      </c>
      <c r="B16" s="64"/>
      <c r="C16" s="64"/>
      <c r="D16" s="27">
        <f>D18</f>
        <v>9600</v>
      </c>
      <c r="E16" s="5"/>
      <c r="F16" s="5"/>
    </row>
    <row r="17" spans="1:6" ht="15.75" x14ac:dyDescent="0.25">
      <c r="A17" s="65" t="s">
        <v>4</v>
      </c>
      <c r="B17" s="65"/>
      <c r="C17" s="28" t="s">
        <v>62</v>
      </c>
      <c r="D17" s="29" t="s">
        <v>19</v>
      </c>
      <c r="E17" s="5"/>
      <c r="F17" s="5"/>
    </row>
    <row r="18" spans="1:6" ht="15.75" x14ac:dyDescent="0.25">
      <c r="A18" s="66">
        <f>ROUND(D18/1.2,2)</f>
        <v>8000</v>
      </c>
      <c r="B18" s="66"/>
      <c r="C18" s="30">
        <f>D18-A18</f>
        <v>1600</v>
      </c>
      <c r="D18" s="31">
        <v>9600</v>
      </c>
      <c r="E18" s="5"/>
      <c r="F18" s="5"/>
    </row>
    <row r="19" spans="1:6" x14ac:dyDescent="0.25">
      <c r="A19" s="5"/>
      <c r="B19" s="5"/>
      <c r="C19" s="5"/>
      <c r="D19" s="6"/>
      <c r="E19" s="5"/>
      <c r="F19" s="5"/>
    </row>
    <row r="20" spans="1:6" x14ac:dyDescent="0.25">
      <c r="A20" s="5"/>
      <c r="B20" s="5"/>
      <c r="C20" s="5"/>
      <c r="D20" s="6"/>
      <c r="E20" s="5"/>
      <c r="F20" s="5"/>
    </row>
    <row r="21" spans="1:6" x14ac:dyDescent="0.25">
      <c r="A21" s="5"/>
      <c r="B21" s="5"/>
      <c r="C21" s="5"/>
      <c r="D21" s="6"/>
      <c r="E21" s="5"/>
      <c r="F21" s="5"/>
    </row>
    <row r="22" spans="1:6" x14ac:dyDescent="0.25">
      <c r="A22" s="5"/>
      <c r="B22" s="5"/>
      <c r="C22" s="5"/>
      <c r="D22" s="6"/>
      <c r="E22" s="5"/>
      <c r="F22" s="5"/>
    </row>
    <row r="23" spans="1:6" x14ac:dyDescent="0.25">
      <c r="A23" s="5"/>
      <c r="B23" s="5"/>
      <c r="C23" s="5"/>
      <c r="D23" s="6"/>
      <c r="E23" s="5"/>
      <c r="F23" s="5"/>
    </row>
    <row r="24" spans="1:6" x14ac:dyDescent="0.25">
      <c r="A24" s="5"/>
      <c r="B24" s="5"/>
      <c r="C24" s="5"/>
      <c r="D24" s="6"/>
      <c r="E24" s="5"/>
      <c r="F24" s="5"/>
    </row>
    <row r="25" spans="1:6" x14ac:dyDescent="0.25">
      <c r="A25" s="5"/>
      <c r="B25" s="5"/>
      <c r="C25" s="5"/>
      <c r="D25" s="6"/>
      <c r="E25" s="5"/>
      <c r="F25" s="5"/>
    </row>
  </sheetData>
  <mergeCells count="4">
    <mergeCell ref="A1:D1"/>
    <mergeCell ref="A16:C16"/>
    <mergeCell ref="A17:B17"/>
    <mergeCell ref="A18:B18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KATKI PAYI HESAPLAMA</vt:lpstr>
      <vt:lpstr>DAĞ. MAKS. PAY. HESAPLAMA</vt:lpstr>
      <vt:lpstr>LİSTE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NECMETTİN PADIR</dc:creator>
  <cp:lastModifiedBy>levent yıldıran</cp:lastModifiedBy>
  <cp:lastPrinted>2026-05-08T10:58:32Z</cp:lastPrinted>
  <dcterms:created xsi:type="dcterms:W3CDTF">2015-06-05T18:19:34Z</dcterms:created>
  <dcterms:modified xsi:type="dcterms:W3CDTF">2026-05-08T11:01:27Z</dcterms:modified>
</cp:coreProperties>
</file>